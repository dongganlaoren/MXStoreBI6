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wm\MyProject\MXStoreBI6\docs\"/>
    </mc:Choice>
  </mc:AlternateContent>
  <xr:revisionPtr revIDLastSave="0" documentId="13_ncr:1_{46C198DB-3571-493C-8D0B-46A5791148B2}" xr6:coauthVersionLast="47" xr6:coauthVersionMax="47" xr10:uidLastSave="{00000000-0000-0000-0000-000000000000}"/>
  <bookViews>
    <workbookView xWindow="-98" yWindow="-98" windowWidth="28996" windowHeight="15675" xr2:uid="{3F3F3161-610E-4F36-A636-C5E48A5E69A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8" i="2"/>
  <c r="E12" i="2"/>
  <c r="E6" i="2"/>
</calcChain>
</file>

<file path=xl/sharedStrings.xml><?xml version="1.0" encoding="utf-8"?>
<sst xmlns="http://schemas.openxmlformats.org/spreadsheetml/2006/main" count="39" uniqueCount="38">
  <si>
    <t>电子支付收入</t>
    <phoneticPr fontId="1" type="noConversion"/>
  </si>
  <si>
    <t>收银机小票信息录入</t>
    <phoneticPr fontId="1" type="noConversion"/>
  </si>
  <si>
    <t>实际入账</t>
    <phoneticPr fontId="1" type="noConversion"/>
  </si>
  <si>
    <t>电子支付实际入账金额</t>
    <phoneticPr fontId="1" type="noConversion"/>
  </si>
  <si>
    <t>银行存款金额</t>
    <phoneticPr fontId="1" type="noConversion"/>
  </si>
  <si>
    <t>总误差</t>
    <phoneticPr fontId="1" type="noConversion"/>
  </si>
  <si>
    <t>类别</t>
    <phoneticPr fontId="1" type="noConversion"/>
  </si>
  <si>
    <t>字段名称</t>
    <phoneticPr fontId="1" type="noConversion"/>
  </si>
  <si>
    <t>计算公式</t>
    <phoneticPr fontId="1" type="noConversion"/>
  </si>
  <si>
    <t>说明</t>
    <phoneticPr fontId="1" type="noConversion"/>
  </si>
  <si>
    <t>POS机小票打印的销售情况认为是理论营业情况</t>
    <phoneticPr fontId="1" type="noConversion"/>
  </si>
  <si>
    <t>POS机小票里显示的收入的总现金金额</t>
    <phoneticPr fontId="1" type="noConversion"/>
  </si>
  <si>
    <t>POS机小票里显示的收入的电子支付的总金额</t>
    <phoneticPr fontId="1" type="noConversion"/>
  </si>
  <si>
    <t>POS机小票里显示的店内外卖收入总金额</t>
    <phoneticPr fontId="1" type="noConversion"/>
  </si>
  <si>
    <t>POS机小票里显示的代金券总金额</t>
    <phoneticPr fontId="1" type="noConversion"/>
  </si>
  <si>
    <t>店内人员根据实际情况录入到系统</t>
    <phoneticPr fontId="1" type="noConversion"/>
  </si>
  <si>
    <t>第三方外卖平台</t>
    <phoneticPr fontId="1" type="noConversion"/>
  </si>
  <si>
    <t>现金收入</t>
    <phoneticPr fontId="1" type="noConversion"/>
  </si>
  <si>
    <t>外卖收入</t>
    <phoneticPr fontId="1" type="noConversion"/>
  </si>
  <si>
    <t>代金券使用金额</t>
    <phoneticPr fontId="1" type="noConversion"/>
  </si>
  <si>
    <t>店内人员录入各个已开通第三方外卖平台店铺的外卖收入总额</t>
    <phoneticPr fontId="1" type="noConversion"/>
  </si>
  <si>
    <t>店铺理论营业额（T0）</t>
    <phoneticPr fontId="1" type="noConversion"/>
  </si>
  <si>
    <t>银行存款手续费</t>
    <phoneticPr fontId="1" type="noConversion"/>
  </si>
  <si>
    <t>实际总营业额</t>
    <phoneticPr fontId="1" type="noConversion"/>
  </si>
  <si>
    <t>第三方外卖平台收入（T1）</t>
    <phoneticPr fontId="1" type="noConversion"/>
  </si>
  <si>
    <t>误差计算</t>
    <phoneticPr fontId="1" type="noConversion"/>
  </si>
  <si>
    <t>实际存入总账户的现金金额（为实际到账的现金部分）。</t>
    <phoneticPr fontId="1" type="noConversion"/>
  </si>
  <si>
    <t>店内人员根据实际情况录入到系统（为实际到账的电子支付部分）</t>
    <phoneticPr fontId="1" type="noConversion"/>
  </si>
  <si>
    <t>测试用例1</t>
    <phoneticPr fontId="1" type="noConversion"/>
  </si>
  <si>
    <t>总误差，去除银行手续费之后的金额，需要展示给审核人员；计算结果如果是负数，说明实际收入小于理论收入，到达一定额度，需要店内赔付给公司总部</t>
    <phoneticPr fontId="1" type="noConversion"/>
  </si>
  <si>
    <t>总误差=电子支付实际入账金额+银行存款金额+银行存款手续费-POS机小票里显示的收入的电子支付的总金额-POS机小票里显示的收入的总现金金额</t>
    <phoneticPr fontId="1" type="noConversion"/>
  </si>
  <si>
    <t>实际到账的所有收入，不包括代金券和银行手续费</t>
    <phoneticPr fontId="1" type="noConversion"/>
  </si>
  <si>
    <t>实际总营业额=第三方外卖平台收入（T1）+外卖收入+电子支付实际入账金额+银行存款金额</t>
    <phoneticPr fontId="1" type="noConversion"/>
  </si>
  <si>
    <t>店铺理论营业额=现金收入+电子支付收入+外卖收入+POS机小票里显示的代金券总金额</t>
    <phoneticPr fontId="1" type="noConversion"/>
  </si>
  <si>
    <t>去除代金券之后，理论上账户应该收入的总额</t>
    <phoneticPr fontId="1" type="noConversion"/>
  </si>
  <si>
    <t>理论营收（T2）</t>
    <phoneticPr fontId="1" type="noConversion"/>
  </si>
  <si>
    <t>理论营收（T2）=店铺理论营业额（T0）+第三方外卖平台收入（T1）-POS机小票里显示的代金券总金额-银行存款金额</t>
    <phoneticPr fontId="1" type="noConversion"/>
  </si>
  <si>
    <t>理论营收总金额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</si>
</sst>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>
      <alignment vertical="center"/>
    </xf>
    <xf numFmtId="0" fontId="0" fillId="6" borderId="7" xfId="0" applyFill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4" borderId="9" xfId="0" applyFill="1" applyBorder="1">
      <alignment vertical="center"/>
    </xf>
    <xf numFmtId="0" fontId="0" fillId="2" borderId="9" xfId="0" applyFill="1" applyBorder="1">
      <alignment vertical="center"/>
    </xf>
    <xf numFmtId="0" fontId="0" fillId="5" borderId="9" xfId="0" applyFill="1" applyBorder="1">
      <alignment vertical="center"/>
    </xf>
    <xf numFmtId="0" fontId="0" fillId="7" borderId="9" xfId="0" applyFill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4" borderId="13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13" xfId="0" applyFill="1" applyBorder="1">
      <alignment vertical="center"/>
    </xf>
    <xf numFmtId="0" fontId="0" fillId="7" borderId="16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0CA-9397-4B8C-9907-92A6275DD167}">
  <sheetPr>
    <pageSetUpPr fitToPage="1"/>
  </sheetPr>
  <dimension ref="A1:AF21"/>
  <sheetViews>
    <sheetView tabSelected="1" topLeftCell="C1" workbookViewId="0">
      <selection activeCell="D23" sqref="D23"/>
    </sheetView>
  </sheetViews>
  <sheetFormatPr defaultRowHeight="13.9" x14ac:dyDescent="0.4"/>
  <cols>
    <col min="1" max="1" width="19" bestFit="1" customWidth="1"/>
    <col min="2" max="2" width="28.06640625" bestFit="1" customWidth="1"/>
    <col min="3" max="3" width="132.265625" customWidth="1"/>
    <col min="4" max="4" width="139.73046875" customWidth="1"/>
    <col min="5" max="5" width="12.73046875" bestFit="1" customWidth="1"/>
  </cols>
  <sheetData>
    <row r="1" spans="1:32" ht="18.399999999999999" thickTop="1" thickBot="1" x14ac:dyDescent="0.45">
      <c r="A1" s="3" t="s">
        <v>6</v>
      </c>
      <c r="B1" s="4" t="s">
        <v>7</v>
      </c>
      <c r="C1" s="4" t="s">
        <v>8</v>
      </c>
      <c r="D1" s="18" t="s">
        <v>9</v>
      </c>
      <c r="E1" s="24" t="s">
        <v>28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6"/>
    </row>
    <row r="2" spans="1:32" ht="14.65" thickTop="1" thickBot="1" x14ac:dyDescent="0.45">
      <c r="A2" s="5" t="s">
        <v>1</v>
      </c>
      <c r="B2" s="6" t="s">
        <v>17</v>
      </c>
      <c r="C2" s="6"/>
      <c r="D2" s="19" t="s">
        <v>11</v>
      </c>
      <c r="E2" s="27">
        <v>100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9"/>
    </row>
    <row r="3" spans="1:32" ht="14.65" thickTop="1" thickBot="1" x14ac:dyDescent="0.45">
      <c r="A3" s="5"/>
      <c r="B3" s="6" t="s">
        <v>0</v>
      </c>
      <c r="C3" s="6"/>
      <c r="D3" s="19" t="s">
        <v>12</v>
      </c>
      <c r="E3" s="27">
        <v>200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9"/>
    </row>
    <row r="4" spans="1:32" ht="14.65" thickTop="1" thickBot="1" x14ac:dyDescent="0.45">
      <c r="A4" s="5"/>
      <c r="B4" s="6" t="s">
        <v>18</v>
      </c>
      <c r="C4" s="6"/>
      <c r="D4" s="19" t="s">
        <v>13</v>
      </c>
      <c r="E4" s="27">
        <v>100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9"/>
    </row>
    <row r="5" spans="1:32" ht="14.65" thickTop="1" thickBot="1" x14ac:dyDescent="0.45">
      <c r="A5" s="5"/>
      <c r="B5" s="6" t="s">
        <v>19</v>
      </c>
      <c r="C5" s="6"/>
      <c r="D5" s="19" t="s">
        <v>14</v>
      </c>
      <c r="E5" s="27">
        <v>100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9"/>
    </row>
    <row r="6" spans="1:32" ht="14.65" thickTop="1" thickBot="1" x14ac:dyDescent="0.45">
      <c r="A6" s="5"/>
      <c r="B6" s="6" t="s">
        <v>21</v>
      </c>
      <c r="C6" s="6" t="s">
        <v>33</v>
      </c>
      <c r="D6" s="19" t="s">
        <v>10</v>
      </c>
      <c r="E6" s="27">
        <f>SUM(E2:E5)</f>
        <v>500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9"/>
    </row>
    <row r="7" spans="1:32" ht="14.65" thickTop="1" thickBot="1" x14ac:dyDescent="0.45">
      <c r="A7" s="9" t="s">
        <v>16</v>
      </c>
      <c r="B7" s="10" t="s">
        <v>24</v>
      </c>
      <c r="C7" s="10"/>
      <c r="D7" s="21" t="s">
        <v>20</v>
      </c>
      <c r="E7" s="31">
        <v>800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9"/>
    </row>
    <row r="8" spans="1:32" ht="14.65" thickTop="1" thickBot="1" x14ac:dyDescent="0.45">
      <c r="A8" s="7" t="s">
        <v>37</v>
      </c>
      <c r="B8" s="8" t="s">
        <v>35</v>
      </c>
      <c r="C8" s="8" t="s">
        <v>36</v>
      </c>
      <c r="D8" s="20" t="s">
        <v>34</v>
      </c>
      <c r="E8" s="30">
        <f>E6+E7-E5-E11</f>
        <v>1185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9"/>
    </row>
    <row r="9" spans="1:32" ht="14.65" thickTop="1" thickBot="1" x14ac:dyDescent="0.45">
      <c r="A9" s="11" t="s">
        <v>2</v>
      </c>
      <c r="B9" s="12" t="s">
        <v>3</v>
      </c>
      <c r="C9" s="12"/>
      <c r="D9" s="22" t="s">
        <v>27</v>
      </c>
      <c r="E9" s="32">
        <v>200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9"/>
    </row>
    <row r="10" spans="1:32" ht="14.65" thickTop="1" thickBot="1" x14ac:dyDescent="0.45">
      <c r="A10" s="11"/>
      <c r="B10" s="12" t="s">
        <v>4</v>
      </c>
      <c r="C10" s="12"/>
      <c r="D10" s="22" t="s">
        <v>26</v>
      </c>
      <c r="E10" s="32">
        <v>75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9"/>
    </row>
    <row r="11" spans="1:32" ht="14.65" thickTop="1" thickBot="1" x14ac:dyDescent="0.45">
      <c r="A11" s="11"/>
      <c r="B11" s="12" t="s">
        <v>22</v>
      </c>
      <c r="C11" s="12"/>
      <c r="D11" s="22" t="s">
        <v>15</v>
      </c>
      <c r="E11" s="32">
        <v>15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9"/>
    </row>
    <row r="12" spans="1:32" ht="14.25" thickTop="1" x14ac:dyDescent="0.4">
      <c r="A12" s="13" t="s">
        <v>25</v>
      </c>
      <c r="B12" s="14" t="s">
        <v>5</v>
      </c>
      <c r="C12" s="14" t="s">
        <v>30</v>
      </c>
      <c r="D12" s="23" t="s">
        <v>29</v>
      </c>
      <c r="E12" s="33">
        <f>E9+E10+E11-E2-E3</f>
        <v>-10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5"/>
    </row>
    <row r="13" spans="1:32" ht="14.25" thickBot="1" x14ac:dyDescent="0.45">
      <c r="A13" s="15" t="s">
        <v>23</v>
      </c>
      <c r="B13" s="16" t="s">
        <v>23</v>
      </c>
      <c r="C13" s="16" t="s">
        <v>32</v>
      </c>
      <c r="D13" s="17" t="s">
        <v>31</v>
      </c>
      <c r="E13" s="2">
        <f>E4+E7+E9+E10</f>
        <v>1175</v>
      </c>
    </row>
    <row r="14" spans="1:32" ht="14.25" thickTop="1" x14ac:dyDescent="0.4"/>
    <row r="15" spans="1:32" x14ac:dyDescent="0.4">
      <c r="D15" s="1"/>
      <c r="E15" s="1"/>
      <c r="F15" s="1"/>
      <c r="G15" s="1"/>
    </row>
    <row r="16" spans="1:32" x14ac:dyDescent="0.4">
      <c r="D16" s="1"/>
      <c r="E16" s="1"/>
      <c r="F16" s="1"/>
      <c r="G16" s="1"/>
    </row>
    <row r="17" spans="4:7" x14ac:dyDescent="0.4">
      <c r="D17" s="1"/>
      <c r="E17" s="1"/>
      <c r="F17" s="1"/>
      <c r="G17" s="1"/>
    </row>
    <row r="18" spans="4:7" x14ac:dyDescent="0.4">
      <c r="D18" s="1"/>
      <c r="E18" s="1"/>
      <c r="F18" s="1"/>
      <c r="G18" s="1"/>
    </row>
    <row r="19" spans="4:7" x14ac:dyDescent="0.4">
      <c r="D19" s="1"/>
      <c r="E19" s="1"/>
      <c r="F19" s="1"/>
      <c r="G19" s="1"/>
    </row>
    <row r="20" spans="4:7" x14ac:dyDescent="0.4">
      <c r="D20" s="1"/>
      <c r="E20" s="1"/>
      <c r="F20" s="1"/>
      <c r="G20" s="1"/>
    </row>
    <row r="21" spans="4:7" x14ac:dyDescent="0.4">
      <c r="D21" s="1"/>
      <c r="E21" s="1"/>
      <c r="F21" s="1"/>
      <c r="G21" s="1"/>
    </row>
  </sheetData>
  <mergeCells count="2">
    <mergeCell ref="A2:A6"/>
    <mergeCell ref="A9:A11"/>
  </mergeCells>
  <phoneticPr fontId="1" type="noConversion"/>
  <pageMargins left="0.7" right="0.7" top="0.75" bottom="0.75" header="0.3" footer="0.3"/>
  <pageSetup paperSize="9"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炜民 任</dc:creator>
  <cp:lastModifiedBy>炜民 任</cp:lastModifiedBy>
  <cp:lastPrinted>2025-07-11T02:50:19Z</cp:lastPrinted>
  <dcterms:created xsi:type="dcterms:W3CDTF">2025-07-11T01:31:51Z</dcterms:created>
  <dcterms:modified xsi:type="dcterms:W3CDTF">2025-07-11T09:01:55Z</dcterms:modified>
</cp:coreProperties>
</file>