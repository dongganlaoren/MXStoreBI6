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renweimin/Downloads/"/>
    </mc:Choice>
  </mc:AlternateContent>
  <xr:revisionPtr revIDLastSave="0" documentId="13_ncr:1_{9AFFE7CE-A674-594E-9156-DD629C761C1F}" xr6:coauthVersionLast="47" xr6:coauthVersionMax="47" xr10:uidLastSave="{00000000-0000-0000-0000-000000000000}"/>
  <bookViews>
    <workbookView xWindow="-4740" yWindow="-21100" windowWidth="38400" windowHeight="21100" xr2:uid="{00000000-000D-0000-FFFF-FFFF00000000}"/>
  </bookViews>
  <sheets>
    <sheet name="物料合并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J20" i="1"/>
  <c r="J21" i="1"/>
  <c r="J28" i="1"/>
  <c r="J29" i="1"/>
  <c r="J36" i="1"/>
  <c r="J37" i="1"/>
  <c r="J44" i="1"/>
  <c r="J45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3" i="1"/>
  <c r="I46" i="1" s="1"/>
  <c r="F4" i="1"/>
  <c r="J4" i="1" s="1"/>
  <c r="F5" i="1"/>
  <c r="J5" i="1" s="1"/>
  <c r="F6" i="1"/>
  <c r="J6" i="1" s="1"/>
  <c r="F7" i="1"/>
  <c r="J7" i="1" s="1"/>
  <c r="F8" i="1"/>
  <c r="J8" i="1" s="1"/>
  <c r="F9" i="1"/>
  <c r="J9" i="1" s="1"/>
  <c r="F10" i="1"/>
  <c r="J10" i="1" s="1"/>
  <c r="F11" i="1"/>
  <c r="J11" i="1" s="1"/>
  <c r="F12" i="1"/>
  <c r="J12" i="1" s="1"/>
  <c r="F13" i="1"/>
  <c r="F14" i="1"/>
  <c r="J14" i="1" s="1"/>
  <c r="F15" i="1"/>
  <c r="J15" i="1" s="1"/>
  <c r="F16" i="1"/>
  <c r="J16" i="1" s="1"/>
  <c r="F17" i="1"/>
  <c r="J17" i="1" s="1"/>
  <c r="F18" i="1"/>
  <c r="J18" i="1" s="1"/>
  <c r="F19" i="1"/>
  <c r="J19" i="1" s="1"/>
  <c r="F20" i="1"/>
  <c r="F21" i="1"/>
  <c r="F22" i="1"/>
  <c r="J22" i="1" s="1"/>
  <c r="F23" i="1"/>
  <c r="J23" i="1" s="1"/>
  <c r="F24" i="1"/>
  <c r="J24" i="1" s="1"/>
  <c r="F25" i="1"/>
  <c r="J25" i="1" s="1"/>
  <c r="F26" i="1"/>
  <c r="J26" i="1" s="1"/>
  <c r="F27" i="1"/>
  <c r="J27" i="1" s="1"/>
  <c r="F28" i="1"/>
  <c r="F29" i="1"/>
  <c r="F30" i="1"/>
  <c r="J30" i="1" s="1"/>
  <c r="F31" i="1"/>
  <c r="J31" i="1" s="1"/>
  <c r="F32" i="1"/>
  <c r="J32" i="1" s="1"/>
  <c r="F33" i="1"/>
  <c r="J33" i="1" s="1"/>
  <c r="F34" i="1"/>
  <c r="J34" i="1" s="1"/>
  <c r="F35" i="1"/>
  <c r="J35" i="1" s="1"/>
  <c r="F36" i="1"/>
  <c r="F37" i="1"/>
  <c r="F38" i="1"/>
  <c r="J38" i="1" s="1"/>
  <c r="F39" i="1"/>
  <c r="J39" i="1" s="1"/>
  <c r="F40" i="1"/>
  <c r="J40" i="1" s="1"/>
  <c r="F41" i="1"/>
  <c r="J41" i="1" s="1"/>
  <c r="F42" i="1"/>
  <c r="J42" i="1" s="1"/>
  <c r="F43" i="1"/>
  <c r="J43" i="1" s="1"/>
  <c r="F44" i="1"/>
  <c r="F45" i="1"/>
  <c r="F3" i="1"/>
  <c r="J3" i="1" s="1"/>
  <c r="J46" i="1" l="1"/>
  <c r="K46" i="1"/>
</calcChain>
</file>

<file path=xl/sharedStrings.xml><?xml version="1.0" encoding="utf-8"?>
<sst xmlns="http://schemas.openxmlformats.org/spreadsheetml/2006/main" count="141" uniqueCount="95">
  <si>
    <t>产品类别</t>
  </si>
  <si>
    <t>物料名称（中/泰）</t>
  </si>
  <si>
    <t>规格</t>
  </si>
  <si>
    <t>食材类</t>
  </si>
  <si>
    <t>柠檬 / มะนาว</t>
  </si>
  <si>
    <t>蔗糖风味饮料浓浆（糖蜜） / ไซรัปน้ำตาล</t>
  </si>
  <si>
    <t>6.5kg/壶 4壶/件</t>
  </si>
  <si>
    <t>草莓果酱 / แยมสตรอเบอร์รี่</t>
  </si>
  <si>
    <t>珍珠粉圆（黑珍珠） / ไข่มุก (ไข่มุกสีดำ)</t>
  </si>
  <si>
    <t>奶茶伴侣粉（风味固体饮料） / ผงชานม</t>
  </si>
  <si>
    <t>原味奶昔粉（冰淇淋预拌粉） / ผงครีมเทียม (รสดั้งเดิม)</t>
  </si>
  <si>
    <t>巧克力风味饮料浓浆 / ไซรัปช็อกโกแลต</t>
  </si>
  <si>
    <t>雪王脆薯条（蜂蜜黄油味） / มันฝรั่งแท่งรสเนยน้ำผึ้ง</t>
  </si>
  <si>
    <t>20g/包 150包/件</t>
  </si>
  <si>
    <t>太妃榛果风味饮料浓浆 / ไซรัปเฮเซลนัท</t>
  </si>
  <si>
    <t>晶球 / เจลลี่คริสตัล</t>
  </si>
  <si>
    <t>柠檬薄荷风味饮料浓浆 / น้ำเข้มข้นรสเลมอนมิ้นท์</t>
  </si>
  <si>
    <t>红茶 / ชาดำ</t>
  </si>
  <si>
    <t>香芋风味粉（冰淇淋预拌粉） / ผลิตภัณฑ์สำหรับผสมในเครื่องดื่ม (รสเผือก)</t>
  </si>
  <si>
    <t>猕猴桃果酱 / แยมกีวี่</t>
  </si>
  <si>
    <t>奥利奥碎 / เศษโอริโอ</t>
  </si>
  <si>
    <t>黄桃果酱 / แยมลูกพีชเหลือง</t>
  </si>
  <si>
    <t>果汁伴侣饮料浓浆（果蜜） / ไซรัปน้ำเชื่อมผลไม้</t>
  </si>
  <si>
    <t>蜜桃果粒果酱 / แยมลูกพีช</t>
  </si>
  <si>
    <t>900g/罐 20罐/件</t>
  </si>
  <si>
    <t>椰果酱 / วุ้นมะพร้าว</t>
  </si>
  <si>
    <t>2kg/袋 10袋/件</t>
  </si>
  <si>
    <t>黑糖风味饮料浓浆 / ไซรัป บราวน์ชูการ์</t>
  </si>
  <si>
    <t>芒果饮料浓浆 / แยมมะม่วง</t>
  </si>
  <si>
    <t>850g/听 20听/件</t>
  </si>
  <si>
    <t>焦糖鸡蛋风味固体饮料 / เครื่องดื่มผงรสไข่คาราเมล</t>
  </si>
  <si>
    <t>原味布丁粉 / ผงพุดดิ้ง</t>
  </si>
  <si>
    <t>速溶咖啡粉（固体饮料） / ผงกาแฟสำเร็จรูป</t>
  </si>
  <si>
    <t>翡翠茉莉花茶 / ชาเขียวมะลิ(ชามะลิ)</t>
  </si>
  <si>
    <t>60g/袋 200袋/件</t>
  </si>
  <si>
    <t>包材类</t>
  </si>
  <si>
    <t>大号塑杯（磨砂款）700 / PLASTIC CUP(FROSTED)</t>
  </si>
  <si>
    <t>50个/条 20条/件</t>
  </si>
  <si>
    <t>中号塑杯（磨砂款）500 / PLASTIC CUP(FROSTED)</t>
  </si>
  <si>
    <t>圣代勺 / ช้อนไอศครีมชันเดย์</t>
  </si>
  <si>
    <t>封口膜 / ฟิล์มซิลฝาแก้ว</t>
  </si>
  <si>
    <t>2000张/卷 6卷/件</t>
  </si>
  <si>
    <t>双杯保温袋 / ถุงเก็บอุณหภูมิ 2 แก้ว</t>
  </si>
  <si>
    <t>四杯袋 / ถุง 4 แก้ว</t>
  </si>
  <si>
    <t>球形盖 / DISPOSABLE SPHERICAL TEA COVER</t>
  </si>
  <si>
    <t>100个/条 10条/件</t>
  </si>
  <si>
    <t>双杯袋 / ถุง 2 แก้ว</t>
  </si>
  <si>
    <t>500个/扎 10扎/件</t>
  </si>
  <si>
    <t>四杯保温袋 / ถุงเก็บอุณหภูมิ 4 แก้ว</t>
  </si>
  <si>
    <t>单杯袋 / ถุงแก้วเดี่ยว</t>
  </si>
  <si>
    <t>500个/扎 12扎/件</t>
  </si>
  <si>
    <t>单支粗吸管 / หลอดใหญ่</t>
  </si>
  <si>
    <t>单支细吸管 / หลอดเล็ก</t>
  </si>
  <si>
    <t>500塑杯 /แก้ว 500</t>
  </si>
  <si>
    <t>400 U型杯 / แก้ว 400U</t>
  </si>
  <si>
    <t>华夫纸皮 / กรวยกระดาษ</t>
  </si>
  <si>
    <t>每件单价</t>
    <phoneticPr fontId="2" type="noConversion"/>
  </si>
  <si>
    <t>15kg/件</t>
    <phoneticPr fontId="2" type="noConversion"/>
  </si>
  <si>
    <t>盘点结果</t>
    <phoneticPr fontId="2" type="noConversion"/>
  </si>
  <si>
    <t>剩余整件数</t>
    <phoneticPr fontId="2" type="noConversion"/>
  </si>
  <si>
    <t>设备类</t>
    <phoneticPr fontId="2" type="noConversion"/>
  </si>
  <si>
    <r>
      <t xml:space="preserve">收银纸 </t>
    </r>
    <r>
      <rPr>
        <sz val="11"/>
        <color theme="1"/>
        <rFont val="Angsana New"/>
        <family val="2"/>
        <charset val="222"/>
      </rPr>
      <t>การต่อหน้าพิมพ์ใบเสร็จ</t>
    </r>
    <phoneticPr fontId="2" type="noConversion"/>
  </si>
  <si>
    <t>50个/条 20条/件</t>
    <phoneticPr fontId="2" type="noConversion"/>
  </si>
  <si>
    <r>
      <t xml:space="preserve">标签打印纸 </t>
    </r>
    <r>
      <rPr>
        <sz val="11"/>
        <color theme="1"/>
        <rFont val="Angsana New"/>
        <family val="2"/>
        <charset val="222"/>
      </rPr>
      <t>การต่อหน้าพิมพ์ฟิวส์</t>
    </r>
    <phoneticPr fontId="2" type="noConversion"/>
  </si>
  <si>
    <t>850g/罐 20罐/件</t>
    <phoneticPr fontId="2" type="noConversion"/>
  </si>
  <si>
    <t>454g/袋 24袋/件</t>
    <phoneticPr fontId="2" type="noConversion"/>
  </si>
  <si>
    <t>900g/罐 20罐/件</t>
    <phoneticPr fontId="2" type="noConversion"/>
  </si>
  <si>
    <t>1.2kg瓶 12瓶/件</t>
    <phoneticPr fontId="2" type="noConversion"/>
  </si>
  <si>
    <t>1kg/袋 20袋/件</t>
    <phoneticPr fontId="2" type="noConversion"/>
  </si>
  <si>
    <t>1kg/包 20包/件</t>
    <phoneticPr fontId="2" type="noConversion"/>
  </si>
  <si>
    <t>300g/袋 15袋/件</t>
    <phoneticPr fontId="2" type="noConversion"/>
  </si>
  <si>
    <t>900g/罐  20罐/件</t>
    <phoneticPr fontId="2" type="noConversion"/>
  </si>
  <si>
    <t>2kg/袋  10袋/件</t>
    <phoneticPr fontId="2" type="noConversion"/>
  </si>
  <si>
    <t>1.2kg/瓶 12瓶/件</t>
    <phoneticPr fontId="2" type="noConversion"/>
  </si>
  <si>
    <t>1kg/包 16包/件</t>
    <phoneticPr fontId="2" type="noConversion"/>
  </si>
  <si>
    <t>3kg/包 8包/件</t>
    <phoneticPr fontId="2" type="noConversion"/>
  </si>
  <si>
    <t>1.3kg/盒 12盒/件</t>
    <phoneticPr fontId="2" type="noConversion"/>
  </si>
  <si>
    <t>1.2kg/盒  12盒/件</t>
    <phoneticPr fontId="2" type="noConversion"/>
  </si>
  <si>
    <t>100g/包 120包/件</t>
    <phoneticPr fontId="2" type="noConversion"/>
  </si>
  <si>
    <t>3kg/袋 8袋/件</t>
    <phoneticPr fontId="2" type="noConversion"/>
  </si>
  <si>
    <r>
      <t xml:space="preserve">冰淇淋脆筒 / </t>
    </r>
    <r>
      <rPr>
        <sz val="11"/>
        <color theme="1"/>
        <rFont val="Angsana New"/>
        <family val="2"/>
        <charset val="134"/>
      </rPr>
      <t>โคนไอศกรีม</t>
    </r>
    <phoneticPr fontId="2" type="noConversion"/>
  </si>
  <si>
    <t>25支/条 16条/件</t>
    <phoneticPr fontId="2" type="noConversion"/>
  </si>
  <si>
    <t>100个/扎 20扎/件</t>
    <phoneticPr fontId="2" type="noConversion"/>
  </si>
  <si>
    <t>50个/包 60包/件</t>
    <phoneticPr fontId="2" type="noConversion"/>
  </si>
  <si>
    <t>50个/扎 10扎/件</t>
    <phoneticPr fontId="2" type="noConversion"/>
  </si>
  <si>
    <t>100个/组 50组/件</t>
    <phoneticPr fontId="2" type="noConversion"/>
  </si>
  <si>
    <t>100支/包 50包/件</t>
    <phoneticPr fontId="2" type="noConversion"/>
  </si>
  <si>
    <t>80mm*55M/卷 10卷/包 5包/件</t>
    <phoneticPr fontId="2" type="noConversion"/>
  </si>
  <si>
    <t>40mm*30mm*800张/卷 20卷/包 5包/件</t>
    <phoneticPr fontId="2" type="noConversion"/>
  </si>
  <si>
    <t>每组数量（小包装数/件）</t>
    <phoneticPr fontId="2" type="noConversion"/>
  </si>
  <si>
    <t>每组单价</t>
    <phoneticPr fontId="2" type="noConversion"/>
  </si>
  <si>
    <t>剩余组数</t>
    <phoneticPr fontId="2" type="noConversion"/>
  </si>
  <si>
    <t>整件价值</t>
    <phoneticPr fontId="2" type="noConversion"/>
  </si>
  <si>
    <t>散件价值</t>
    <phoneticPr fontId="2" type="noConversion"/>
  </si>
  <si>
    <t>货值计算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</si>
</sst>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_ "/>
    <numFmt numFmtId="178" formatCode="[$฿-41E]#,##0.00"/>
  </numFmts>
  <fonts count="5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Angsana New"/>
      <family val="2"/>
      <charset val="222"/>
    </font>
    <font>
      <sz val="11"/>
      <color theme="1"/>
      <name val="Angsana New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slantDashDot">
        <color auto="1"/>
      </left>
      <right style="thin">
        <color auto="1"/>
      </right>
      <top style="slant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slantDashDot">
        <color auto="1"/>
      </top>
      <bottom style="thin">
        <color auto="1"/>
      </bottom>
      <diagonal/>
    </border>
    <border>
      <left style="thin">
        <color auto="1"/>
      </left>
      <right style="slantDashDot">
        <color auto="1"/>
      </right>
      <top style="slantDashDot">
        <color auto="1"/>
      </top>
      <bottom style="thin">
        <color auto="1"/>
      </bottom>
      <diagonal/>
    </border>
    <border>
      <left style="slantDashDot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slantDashDot">
        <color auto="1"/>
      </right>
      <top style="thin">
        <color auto="1"/>
      </top>
      <bottom style="thin">
        <color auto="1"/>
      </bottom>
      <diagonal/>
    </border>
    <border>
      <left style="slantDashDot">
        <color auto="1"/>
      </left>
      <right style="thin">
        <color auto="1"/>
      </right>
      <top style="thin">
        <color auto="1"/>
      </top>
      <bottom style="slantDashDot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slantDashDot">
        <color auto="1"/>
      </bottom>
      <diagonal/>
    </border>
    <border>
      <left style="thin">
        <color auto="1"/>
      </left>
      <right style="slantDashDot">
        <color auto="1"/>
      </right>
      <top style="thin">
        <color auto="1"/>
      </top>
      <bottom style="slantDashDot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17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0" xfId="0" applyFill="1"/>
    <xf numFmtId="177" fontId="0" fillId="0" borderId="3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/>
    </xf>
    <xf numFmtId="0" fontId="0" fillId="0" borderId="6" xfId="0" applyBorder="1"/>
    <xf numFmtId="177" fontId="0" fillId="0" borderId="9" xfId="0" applyNumberFormat="1" applyBorder="1" applyAlignment="1">
      <alignment horizontal="center"/>
    </xf>
    <xf numFmtId="0" fontId="0" fillId="0" borderId="9" xfId="0" applyBorder="1"/>
    <xf numFmtId="178" fontId="0" fillId="0" borderId="0" xfId="0" applyNumberFormat="1"/>
    <xf numFmtId="178" fontId="0" fillId="0" borderId="3" xfId="0" applyNumberFormat="1" applyBorder="1" applyAlignment="1">
      <alignment horizontal="center"/>
    </xf>
    <xf numFmtId="178" fontId="0" fillId="0" borderId="4" xfId="0" applyNumberFormat="1" applyBorder="1" applyAlignment="1">
      <alignment horizontal="center"/>
    </xf>
    <xf numFmtId="178" fontId="0" fillId="0" borderId="6" xfId="0" applyNumberFormat="1" applyBorder="1" applyAlignment="1">
      <alignment horizontal="center" vertical="center"/>
    </xf>
    <xf numFmtId="178" fontId="0" fillId="0" borderId="7" xfId="0" applyNumberFormat="1" applyBorder="1" applyAlignment="1">
      <alignment horizontal="center" vertical="center"/>
    </xf>
    <xf numFmtId="178" fontId="0" fillId="0" borderId="6" xfId="0" applyNumberFormat="1" applyBorder="1"/>
    <xf numFmtId="178" fontId="0" fillId="0" borderId="7" xfId="0" applyNumberFormat="1" applyBorder="1"/>
    <xf numFmtId="178" fontId="0" fillId="0" borderId="9" xfId="0" applyNumberFormat="1" applyBorder="1"/>
    <xf numFmtId="178" fontId="0" fillId="0" borderId="10" xfId="0" applyNumberForma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8" fontId="1" fillId="0" borderId="3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78" fontId="1" fillId="0" borderId="6" xfId="0" applyNumberFormat="1" applyFont="1" applyBorder="1" applyAlignment="1">
      <alignment horizontal="center" vertical="center"/>
    </xf>
    <xf numFmtId="0" fontId="0" fillId="0" borderId="5" xfId="0" applyBorder="1"/>
    <xf numFmtId="0" fontId="0" fillId="0" borderId="8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6"/>
  <sheetViews>
    <sheetView tabSelected="1" zoomScale="140" zoomScaleNormal="140" workbookViewId="0">
      <selection sqref="A1:K46"/>
    </sheetView>
  </sheetViews>
  <sheetFormatPr baseColWidth="10" defaultColWidth="8.83203125" defaultRowHeight="14"/>
  <cols>
    <col min="1" max="1" width="9.33203125" bestFit="1" customWidth="1"/>
    <col min="2" max="2" width="68.5" bestFit="1" customWidth="1"/>
    <col min="3" max="3" width="34.6640625" bestFit="1" customWidth="1"/>
    <col min="4" max="4" width="24.33203125" bestFit="1" customWidth="1"/>
    <col min="5" max="6" width="10.6640625" style="11" bestFit="1" customWidth="1"/>
    <col min="7" max="7" width="11.1640625" style="1" customWidth="1"/>
    <col min="8" max="8" width="9.33203125" style="1" bestFit="1" customWidth="1"/>
    <col min="9" max="10" width="11.5" style="11" bestFit="1" customWidth="1"/>
    <col min="11" max="11" width="10" bestFit="1" customWidth="1"/>
  </cols>
  <sheetData>
    <row r="1" spans="1:10">
      <c r="A1" s="2" t="s">
        <v>0</v>
      </c>
      <c r="B1" s="20" t="s">
        <v>1</v>
      </c>
      <c r="C1" s="21" t="s">
        <v>2</v>
      </c>
      <c r="D1" s="21" t="s">
        <v>89</v>
      </c>
      <c r="E1" s="22" t="s">
        <v>56</v>
      </c>
      <c r="F1" s="22" t="s">
        <v>90</v>
      </c>
      <c r="G1" s="5" t="s">
        <v>58</v>
      </c>
      <c r="H1" s="5"/>
      <c r="I1" s="12" t="s">
        <v>94</v>
      </c>
      <c r="J1" s="13"/>
    </row>
    <row r="2" spans="1:10">
      <c r="A2" s="3"/>
      <c r="B2" s="23"/>
      <c r="C2" s="24"/>
      <c r="D2" s="24"/>
      <c r="E2" s="25"/>
      <c r="F2" s="25"/>
      <c r="G2" s="6" t="s">
        <v>59</v>
      </c>
      <c r="H2" s="6" t="s">
        <v>91</v>
      </c>
      <c r="I2" s="14" t="s">
        <v>92</v>
      </c>
      <c r="J2" s="15" t="s">
        <v>93</v>
      </c>
    </row>
    <row r="3" spans="1:10">
      <c r="A3" t="s">
        <v>3</v>
      </c>
      <c r="B3" s="26" t="s">
        <v>4</v>
      </c>
      <c r="C3" s="8" t="s">
        <v>57</v>
      </c>
      <c r="D3" s="8">
        <v>1</v>
      </c>
      <c r="E3" s="16">
        <v>1140</v>
      </c>
      <c r="F3" s="16">
        <f>E3/D3</f>
        <v>1140</v>
      </c>
      <c r="G3" s="7">
        <v>1</v>
      </c>
      <c r="H3" s="7">
        <v>0</v>
      </c>
      <c r="I3" s="16">
        <f>G3*E3</f>
        <v>1140</v>
      </c>
      <c r="J3" s="17">
        <f>H3*F3</f>
        <v>0</v>
      </c>
    </row>
    <row r="4" spans="1:10">
      <c r="A4" t="s">
        <v>3</v>
      </c>
      <c r="B4" s="26" t="s">
        <v>5</v>
      </c>
      <c r="C4" s="8" t="s">
        <v>6</v>
      </c>
      <c r="D4" s="8">
        <v>4</v>
      </c>
      <c r="E4" s="16">
        <v>942</v>
      </c>
      <c r="F4" s="16">
        <f t="shared" ref="F4:F45" si="0">E4/D4</f>
        <v>235.5</v>
      </c>
      <c r="G4" s="7">
        <v>1</v>
      </c>
      <c r="H4" s="7">
        <v>2</v>
      </c>
      <c r="I4" s="16">
        <f t="shared" ref="I4:I45" si="1">G4*E4</f>
        <v>942</v>
      </c>
      <c r="J4" s="17">
        <f t="shared" ref="J4:J45" si="2">H4*F4</f>
        <v>471</v>
      </c>
    </row>
    <row r="5" spans="1:10">
      <c r="A5" t="s">
        <v>3</v>
      </c>
      <c r="B5" s="26" t="s">
        <v>7</v>
      </c>
      <c r="C5" s="8" t="s">
        <v>71</v>
      </c>
      <c r="D5" s="8">
        <v>20</v>
      </c>
      <c r="E5" s="16">
        <v>1351</v>
      </c>
      <c r="F5" s="16">
        <f t="shared" si="0"/>
        <v>67.55</v>
      </c>
      <c r="G5" s="7">
        <v>1</v>
      </c>
      <c r="H5" s="7">
        <v>14</v>
      </c>
      <c r="I5" s="16">
        <f t="shared" si="1"/>
        <v>1351</v>
      </c>
      <c r="J5" s="17">
        <f t="shared" si="2"/>
        <v>945.69999999999993</v>
      </c>
    </row>
    <row r="6" spans="1:10">
      <c r="A6" t="s">
        <v>3</v>
      </c>
      <c r="B6" s="26" t="s">
        <v>8</v>
      </c>
      <c r="C6" s="8" t="s">
        <v>74</v>
      </c>
      <c r="D6" s="8">
        <v>16</v>
      </c>
      <c r="E6" s="16">
        <v>790</v>
      </c>
      <c r="F6" s="16">
        <f t="shared" si="0"/>
        <v>49.375</v>
      </c>
      <c r="G6" s="7">
        <v>0</v>
      </c>
      <c r="H6" s="7">
        <v>16</v>
      </c>
      <c r="I6" s="16">
        <f t="shared" si="1"/>
        <v>0</v>
      </c>
      <c r="J6" s="17">
        <f t="shared" si="2"/>
        <v>790</v>
      </c>
    </row>
    <row r="7" spans="1:10">
      <c r="A7" t="s">
        <v>3</v>
      </c>
      <c r="B7" s="26" t="s">
        <v>9</v>
      </c>
      <c r="C7" s="8" t="s">
        <v>72</v>
      </c>
      <c r="D7" s="8">
        <v>10</v>
      </c>
      <c r="E7" s="16">
        <v>2700</v>
      </c>
      <c r="F7" s="16">
        <f t="shared" si="0"/>
        <v>270</v>
      </c>
      <c r="G7" s="7">
        <v>1</v>
      </c>
      <c r="H7" s="7">
        <v>4</v>
      </c>
      <c r="I7" s="16">
        <f t="shared" si="1"/>
        <v>2700</v>
      </c>
      <c r="J7" s="17">
        <f t="shared" si="2"/>
        <v>1080</v>
      </c>
    </row>
    <row r="8" spans="1:10">
      <c r="A8" t="s">
        <v>3</v>
      </c>
      <c r="B8" s="26" t="s">
        <v>10</v>
      </c>
      <c r="C8" s="8" t="s">
        <v>75</v>
      </c>
      <c r="D8" s="8">
        <v>8</v>
      </c>
      <c r="E8" s="16">
        <v>3250</v>
      </c>
      <c r="F8" s="16">
        <f t="shared" si="0"/>
        <v>406.25</v>
      </c>
      <c r="G8" s="7">
        <v>1</v>
      </c>
      <c r="H8" s="7">
        <v>6</v>
      </c>
      <c r="I8" s="16">
        <f t="shared" si="1"/>
        <v>3250</v>
      </c>
      <c r="J8" s="17">
        <f t="shared" si="2"/>
        <v>2437.5</v>
      </c>
    </row>
    <row r="9" spans="1:10">
      <c r="A9" t="s">
        <v>3</v>
      </c>
      <c r="B9" s="26" t="s">
        <v>11</v>
      </c>
      <c r="C9" s="8" t="s">
        <v>73</v>
      </c>
      <c r="D9" s="8">
        <v>12</v>
      </c>
      <c r="E9" s="16">
        <v>2020</v>
      </c>
      <c r="F9" s="16">
        <f t="shared" si="0"/>
        <v>168.33333333333334</v>
      </c>
      <c r="G9" s="7">
        <v>0</v>
      </c>
      <c r="H9" s="7">
        <v>6</v>
      </c>
      <c r="I9" s="16">
        <f t="shared" si="1"/>
        <v>0</v>
      </c>
      <c r="J9" s="17">
        <f t="shared" si="2"/>
        <v>1010</v>
      </c>
    </row>
    <row r="10" spans="1:10">
      <c r="A10" t="s">
        <v>3</v>
      </c>
      <c r="B10" s="26" t="s">
        <v>12</v>
      </c>
      <c r="C10" s="8" t="s">
        <v>13</v>
      </c>
      <c r="D10" s="8">
        <v>150</v>
      </c>
      <c r="E10" s="16">
        <v>740</v>
      </c>
      <c r="F10" s="16">
        <f t="shared" si="0"/>
        <v>4.9333333333333336</v>
      </c>
      <c r="G10" s="7">
        <v>0</v>
      </c>
      <c r="H10" s="7">
        <v>0</v>
      </c>
      <c r="I10" s="16">
        <f t="shared" si="1"/>
        <v>0</v>
      </c>
      <c r="J10" s="17">
        <f t="shared" si="2"/>
        <v>0</v>
      </c>
    </row>
    <row r="11" spans="1:10">
      <c r="A11" t="s">
        <v>3</v>
      </c>
      <c r="B11" s="26" t="s">
        <v>14</v>
      </c>
      <c r="C11" s="8" t="s">
        <v>76</v>
      </c>
      <c r="D11" s="8">
        <v>12</v>
      </c>
      <c r="E11" s="16">
        <v>1420</v>
      </c>
      <c r="F11" s="16">
        <f t="shared" si="0"/>
        <v>118.33333333333333</v>
      </c>
      <c r="G11" s="7">
        <v>0</v>
      </c>
      <c r="H11" s="7">
        <v>9</v>
      </c>
      <c r="I11" s="16">
        <f t="shared" si="1"/>
        <v>0</v>
      </c>
      <c r="J11" s="17">
        <f t="shared" si="2"/>
        <v>1065</v>
      </c>
    </row>
    <row r="12" spans="1:10">
      <c r="A12" t="s">
        <v>3</v>
      </c>
      <c r="B12" s="26" t="s">
        <v>15</v>
      </c>
      <c r="C12" s="8" t="s">
        <v>68</v>
      </c>
      <c r="D12" s="8">
        <v>20</v>
      </c>
      <c r="E12" s="16">
        <v>835</v>
      </c>
      <c r="F12" s="16">
        <f t="shared" si="0"/>
        <v>41.75</v>
      </c>
      <c r="G12" s="7">
        <v>0</v>
      </c>
      <c r="H12" s="7">
        <v>12</v>
      </c>
      <c r="I12" s="16">
        <f t="shared" si="1"/>
        <v>0</v>
      </c>
      <c r="J12" s="17">
        <f t="shared" si="2"/>
        <v>501</v>
      </c>
    </row>
    <row r="13" spans="1:10">
      <c r="A13" t="s">
        <v>3</v>
      </c>
      <c r="B13" s="26" t="s">
        <v>16</v>
      </c>
      <c r="C13" s="8" t="s">
        <v>77</v>
      </c>
      <c r="D13" s="8">
        <v>12</v>
      </c>
      <c r="E13" s="16">
        <v>1715</v>
      </c>
      <c r="F13" s="16">
        <f t="shared" si="0"/>
        <v>142.91666666666666</v>
      </c>
      <c r="G13" s="7">
        <v>0</v>
      </c>
      <c r="H13" s="7">
        <v>8</v>
      </c>
      <c r="I13" s="16">
        <f t="shared" si="1"/>
        <v>0</v>
      </c>
      <c r="J13" s="17">
        <f t="shared" si="2"/>
        <v>1143.3333333333333</v>
      </c>
    </row>
    <row r="14" spans="1:10">
      <c r="A14" t="s">
        <v>3</v>
      </c>
      <c r="B14" s="26" t="s">
        <v>17</v>
      </c>
      <c r="C14" s="8" t="s">
        <v>78</v>
      </c>
      <c r="D14" s="8">
        <v>120</v>
      </c>
      <c r="E14" s="16">
        <v>3210</v>
      </c>
      <c r="F14" s="16">
        <f t="shared" si="0"/>
        <v>26.75</v>
      </c>
      <c r="G14" s="7">
        <v>0</v>
      </c>
      <c r="H14" s="7">
        <v>14</v>
      </c>
      <c r="I14" s="16">
        <f t="shared" si="1"/>
        <v>0</v>
      </c>
      <c r="J14" s="17">
        <f t="shared" si="2"/>
        <v>374.5</v>
      </c>
    </row>
    <row r="15" spans="1:10">
      <c r="A15" t="s">
        <v>3</v>
      </c>
      <c r="B15" s="26" t="s">
        <v>18</v>
      </c>
      <c r="C15" s="8" t="s">
        <v>79</v>
      </c>
      <c r="D15" s="8">
        <v>8</v>
      </c>
      <c r="E15" s="16">
        <v>3080</v>
      </c>
      <c r="F15" s="16">
        <f t="shared" si="0"/>
        <v>385</v>
      </c>
      <c r="G15" s="7">
        <v>2</v>
      </c>
      <c r="H15" s="7">
        <v>3</v>
      </c>
      <c r="I15" s="16">
        <f t="shared" si="1"/>
        <v>6160</v>
      </c>
      <c r="J15" s="17">
        <f t="shared" si="2"/>
        <v>1155</v>
      </c>
    </row>
    <row r="16" spans="1:10">
      <c r="A16" t="s">
        <v>3</v>
      </c>
      <c r="B16" s="26" t="s">
        <v>19</v>
      </c>
      <c r="C16" s="8" t="s">
        <v>64</v>
      </c>
      <c r="D16" s="8">
        <v>20</v>
      </c>
      <c r="E16" s="16">
        <v>1550</v>
      </c>
      <c r="F16" s="16">
        <f t="shared" si="0"/>
        <v>77.5</v>
      </c>
      <c r="G16" s="7">
        <v>0</v>
      </c>
      <c r="H16" s="7">
        <v>1</v>
      </c>
      <c r="I16" s="16">
        <f t="shared" si="1"/>
        <v>0</v>
      </c>
      <c r="J16" s="17">
        <f t="shared" si="2"/>
        <v>77.5</v>
      </c>
    </row>
    <row r="17" spans="1:10">
      <c r="A17" t="s">
        <v>3</v>
      </c>
      <c r="B17" s="26" t="s">
        <v>20</v>
      </c>
      <c r="C17" s="8" t="s">
        <v>65</v>
      </c>
      <c r="D17" s="8">
        <v>24</v>
      </c>
      <c r="E17" s="16">
        <v>2400</v>
      </c>
      <c r="F17" s="16">
        <f t="shared" si="0"/>
        <v>100</v>
      </c>
      <c r="G17" s="7">
        <v>1</v>
      </c>
      <c r="H17" s="7">
        <v>0</v>
      </c>
      <c r="I17" s="16">
        <f t="shared" si="1"/>
        <v>2400</v>
      </c>
      <c r="J17" s="17">
        <f t="shared" si="2"/>
        <v>0</v>
      </c>
    </row>
    <row r="18" spans="1:10">
      <c r="A18" t="s">
        <v>3</v>
      </c>
      <c r="B18" s="26" t="s">
        <v>21</v>
      </c>
      <c r="C18" s="8" t="s">
        <v>66</v>
      </c>
      <c r="D18" s="8">
        <v>20</v>
      </c>
      <c r="E18" s="16">
        <v>1386</v>
      </c>
      <c r="F18" s="16">
        <f t="shared" si="0"/>
        <v>69.3</v>
      </c>
      <c r="G18" s="7">
        <v>1</v>
      </c>
      <c r="H18" s="7">
        <v>10</v>
      </c>
      <c r="I18" s="16">
        <f t="shared" si="1"/>
        <v>1386</v>
      </c>
      <c r="J18" s="17">
        <f t="shared" si="2"/>
        <v>693</v>
      </c>
    </row>
    <row r="19" spans="1:10">
      <c r="A19" t="s">
        <v>3</v>
      </c>
      <c r="B19" s="26" t="s">
        <v>22</v>
      </c>
      <c r="C19" s="8" t="s">
        <v>6</v>
      </c>
      <c r="D19" s="8">
        <v>4</v>
      </c>
      <c r="E19" s="16">
        <v>1212</v>
      </c>
      <c r="F19" s="16">
        <f t="shared" si="0"/>
        <v>303</v>
      </c>
      <c r="G19" s="7">
        <v>1</v>
      </c>
      <c r="H19" s="7">
        <v>3</v>
      </c>
      <c r="I19" s="16">
        <f t="shared" si="1"/>
        <v>1212</v>
      </c>
      <c r="J19" s="17">
        <f t="shared" si="2"/>
        <v>909</v>
      </c>
    </row>
    <row r="20" spans="1:10">
      <c r="A20" t="s">
        <v>3</v>
      </c>
      <c r="B20" s="26" t="s">
        <v>23</v>
      </c>
      <c r="C20" s="8" t="s">
        <v>24</v>
      </c>
      <c r="D20" s="8">
        <v>20</v>
      </c>
      <c r="E20" s="16">
        <v>1550</v>
      </c>
      <c r="F20" s="16">
        <f t="shared" si="0"/>
        <v>77.5</v>
      </c>
      <c r="G20" s="7">
        <v>0</v>
      </c>
      <c r="H20" s="7">
        <v>17</v>
      </c>
      <c r="I20" s="16">
        <f t="shared" si="1"/>
        <v>0</v>
      </c>
      <c r="J20" s="17">
        <f t="shared" si="2"/>
        <v>1317.5</v>
      </c>
    </row>
    <row r="21" spans="1:10">
      <c r="A21" t="s">
        <v>3</v>
      </c>
      <c r="B21" s="26" t="s">
        <v>25</v>
      </c>
      <c r="C21" s="8" t="s">
        <v>26</v>
      </c>
      <c r="D21" s="8">
        <v>10</v>
      </c>
      <c r="E21" s="16">
        <v>707</v>
      </c>
      <c r="F21" s="16">
        <f t="shared" si="0"/>
        <v>70.7</v>
      </c>
      <c r="G21" s="7">
        <v>0</v>
      </c>
      <c r="H21" s="7">
        <v>7</v>
      </c>
      <c r="I21" s="16">
        <f t="shared" si="1"/>
        <v>0</v>
      </c>
      <c r="J21" s="17">
        <f t="shared" si="2"/>
        <v>494.90000000000003</v>
      </c>
    </row>
    <row r="22" spans="1:10">
      <c r="A22" t="s">
        <v>3</v>
      </c>
      <c r="B22" s="26" t="s">
        <v>27</v>
      </c>
      <c r="C22" s="8" t="s">
        <v>67</v>
      </c>
      <c r="D22" s="8">
        <v>12</v>
      </c>
      <c r="E22" s="16">
        <v>1386</v>
      </c>
      <c r="F22" s="16">
        <f t="shared" si="0"/>
        <v>115.5</v>
      </c>
      <c r="G22" s="7">
        <v>0</v>
      </c>
      <c r="H22" s="7">
        <v>10</v>
      </c>
      <c r="I22" s="16">
        <f t="shared" si="1"/>
        <v>0</v>
      </c>
      <c r="J22" s="17">
        <f t="shared" si="2"/>
        <v>1155</v>
      </c>
    </row>
    <row r="23" spans="1:10">
      <c r="A23" t="s">
        <v>3</v>
      </c>
      <c r="B23" s="26" t="s">
        <v>28</v>
      </c>
      <c r="C23" s="8" t="s">
        <v>29</v>
      </c>
      <c r="D23" s="8">
        <v>20</v>
      </c>
      <c r="E23" s="16">
        <v>2279</v>
      </c>
      <c r="F23" s="16">
        <f t="shared" si="0"/>
        <v>113.95</v>
      </c>
      <c r="G23" s="7">
        <v>1</v>
      </c>
      <c r="H23" s="7">
        <v>14</v>
      </c>
      <c r="I23" s="16">
        <f t="shared" si="1"/>
        <v>2279</v>
      </c>
      <c r="J23" s="17">
        <f t="shared" si="2"/>
        <v>1595.3</v>
      </c>
    </row>
    <row r="24" spans="1:10" ht="17">
      <c r="A24" t="s">
        <v>3</v>
      </c>
      <c r="B24" s="26" t="s">
        <v>80</v>
      </c>
      <c r="C24" s="8" t="s">
        <v>81</v>
      </c>
      <c r="D24" s="8">
        <v>16</v>
      </c>
      <c r="E24" s="16">
        <v>589</v>
      </c>
      <c r="F24" s="16">
        <f t="shared" si="0"/>
        <v>36.8125</v>
      </c>
      <c r="G24" s="7">
        <v>0</v>
      </c>
      <c r="H24" s="7">
        <v>0</v>
      </c>
      <c r="I24" s="16">
        <f t="shared" si="1"/>
        <v>0</v>
      </c>
      <c r="J24" s="17">
        <f t="shared" si="2"/>
        <v>0</v>
      </c>
    </row>
    <row r="25" spans="1:10">
      <c r="A25" t="s">
        <v>3</v>
      </c>
      <c r="B25" s="26" t="s">
        <v>30</v>
      </c>
      <c r="C25" s="8" t="s">
        <v>68</v>
      </c>
      <c r="D25" s="8">
        <v>20</v>
      </c>
      <c r="E25" s="16">
        <v>3180</v>
      </c>
      <c r="F25" s="16">
        <f t="shared" si="0"/>
        <v>159</v>
      </c>
      <c r="G25" s="7">
        <v>1</v>
      </c>
      <c r="H25" s="7">
        <v>10</v>
      </c>
      <c r="I25" s="16">
        <f t="shared" si="1"/>
        <v>3180</v>
      </c>
      <c r="J25" s="17">
        <f t="shared" si="2"/>
        <v>1590</v>
      </c>
    </row>
    <row r="26" spans="1:10">
      <c r="A26" t="s">
        <v>3</v>
      </c>
      <c r="B26" s="26" t="s">
        <v>31</v>
      </c>
      <c r="C26" s="8" t="s">
        <v>69</v>
      </c>
      <c r="D26" s="8">
        <v>20</v>
      </c>
      <c r="E26" s="16">
        <v>2695</v>
      </c>
      <c r="F26" s="16">
        <f t="shared" si="0"/>
        <v>134.75</v>
      </c>
      <c r="G26" s="7">
        <v>0</v>
      </c>
      <c r="H26" s="7">
        <v>5</v>
      </c>
      <c r="I26" s="16">
        <f t="shared" si="1"/>
        <v>0</v>
      </c>
      <c r="J26" s="17">
        <f t="shared" si="2"/>
        <v>673.75</v>
      </c>
    </row>
    <row r="27" spans="1:10">
      <c r="A27" t="s">
        <v>3</v>
      </c>
      <c r="B27" s="26" t="s">
        <v>32</v>
      </c>
      <c r="C27" s="8" t="s">
        <v>70</v>
      </c>
      <c r="D27" s="8">
        <v>15</v>
      </c>
      <c r="E27" s="16">
        <v>2170</v>
      </c>
      <c r="F27" s="16">
        <f t="shared" si="0"/>
        <v>144.66666666666666</v>
      </c>
      <c r="G27" s="7">
        <v>0</v>
      </c>
      <c r="H27" s="7">
        <v>3</v>
      </c>
      <c r="I27" s="16">
        <f t="shared" si="1"/>
        <v>0</v>
      </c>
      <c r="J27" s="17">
        <f t="shared" si="2"/>
        <v>434</v>
      </c>
    </row>
    <row r="28" spans="1:10">
      <c r="A28" t="s">
        <v>3</v>
      </c>
      <c r="B28" s="26" t="s">
        <v>33</v>
      </c>
      <c r="C28" s="8" t="s">
        <v>34</v>
      </c>
      <c r="D28" s="8">
        <v>200</v>
      </c>
      <c r="E28" s="16">
        <v>5990</v>
      </c>
      <c r="F28" s="16">
        <f t="shared" si="0"/>
        <v>29.95</v>
      </c>
      <c r="G28" s="7">
        <v>1</v>
      </c>
      <c r="H28" s="7">
        <v>43</v>
      </c>
      <c r="I28" s="16">
        <f t="shared" si="1"/>
        <v>5990</v>
      </c>
      <c r="J28" s="17">
        <f t="shared" si="2"/>
        <v>1287.8499999999999</v>
      </c>
    </row>
    <row r="29" spans="1:10">
      <c r="A29" t="s">
        <v>35</v>
      </c>
      <c r="B29" s="26" t="s">
        <v>52</v>
      </c>
      <c r="C29" s="8" t="s">
        <v>86</v>
      </c>
      <c r="D29" s="8">
        <v>50</v>
      </c>
      <c r="E29" s="16">
        <v>617</v>
      </c>
      <c r="F29" s="16">
        <f t="shared" si="0"/>
        <v>12.34</v>
      </c>
      <c r="G29" s="7">
        <v>0</v>
      </c>
      <c r="H29" s="7">
        <v>42</v>
      </c>
      <c r="I29" s="16">
        <f t="shared" si="1"/>
        <v>0</v>
      </c>
      <c r="J29" s="17">
        <f t="shared" si="2"/>
        <v>518.28</v>
      </c>
    </row>
    <row r="30" spans="1:10">
      <c r="A30" t="s">
        <v>35</v>
      </c>
      <c r="B30" s="26" t="s">
        <v>53</v>
      </c>
      <c r="C30" s="8" t="s">
        <v>62</v>
      </c>
      <c r="D30" s="8">
        <v>20</v>
      </c>
      <c r="E30" s="16">
        <v>1171</v>
      </c>
      <c r="F30" s="16">
        <f t="shared" si="0"/>
        <v>58.55</v>
      </c>
      <c r="G30" s="7">
        <v>0</v>
      </c>
      <c r="H30" s="7">
        <v>0</v>
      </c>
      <c r="I30" s="16">
        <f t="shared" si="1"/>
        <v>0</v>
      </c>
      <c r="J30" s="17">
        <f t="shared" si="2"/>
        <v>0</v>
      </c>
    </row>
    <row r="31" spans="1:10">
      <c r="A31" t="s">
        <v>35</v>
      </c>
      <c r="B31" s="26" t="s">
        <v>54</v>
      </c>
      <c r="C31" s="8" t="s">
        <v>62</v>
      </c>
      <c r="D31" s="8">
        <v>20</v>
      </c>
      <c r="E31" s="16">
        <v>1122</v>
      </c>
      <c r="F31" s="16">
        <f t="shared" si="0"/>
        <v>56.1</v>
      </c>
      <c r="G31" s="7">
        <v>1</v>
      </c>
      <c r="H31" s="7">
        <v>19</v>
      </c>
      <c r="I31" s="16">
        <f t="shared" si="1"/>
        <v>1122</v>
      </c>
      <c r="J31" s="17">
        <f t="shared" si="2"/>
        <v>1065.9000000000001</v>
      </c>
    </row>
    <row r="32" spans="1:10">
      <c r="A32" t="s">
        <v>35</v>
      </c>
      <c r="B32" s="26" t="s">
        <v>43</v>
      </c>
      <c r="C32" s="8" t="s">
        <v>82</v>
      </c>
      <c r="D32" s="8">
        <v>20</v>
      </c>
      <c r="E32" s="16">
        <v>2252</v>
      </c>
      <c r="F32" s="16">
        <f t="shared" si="0"/>
        <v>112.6</v>
      </c>
      <c r="G32" s="7">
        <v>0</v>
      </c>
      <c r="H32" s="7">
        <v>3</v>
      </c>
      <c r="I32" s="16">
        <f t="shared" si="1"/>
        <v>0</v>
      </c>
      <c r="J32" s="17">
        <f t="shared" si="2"/>
        <v>337.79999999999995</v>
      </c>
    </row>
    <row r="33" spans="1:11">
      <c r="A33" t="s">
        <v>35</v>
      </c>
      <c r="B33" s="26" t="s">
        <v>44</v>
      </c>
      <c r="C33" s="8" t="s">
        <v>45</v>
      </c>
      <c r="D33" s="8">
        <v>10</v>
      </c>
      <c r="E33" s="16">
        <v>526</v>
      </c>
      <c r="F33" s="16">
        <f t="shared" si="0"/>
        <v>52.6</v>
      </c>
      <c r="G33" s="7">
        <v>0</v>
      </c>
      <c r="H33" s="7">
        <v>2</v>
      </c>
      <c r="I33" s="16">
        <f t="shared" si="1"/>
        <v>0</v>
      </c>
      <c r="J33" s="17">
        <f t="shared" si="2"/>
        <v>105.2</v>
      </c>
    </row>
    <row r="34" spans="1:11">
      <c r="A34" t="s">
        <v>35</v>
      </c>
      <c r="B34" s="26" t="s">
        <v>46</v>
      </c>
      <c r="C34" s="8" t="s">
        <v>47</v>
      </c>
      <c r="D34" s="8">
        <v>10</v>
      </c>
      <c r="E34" s="16">
        <v>2487</v>
      </c>
      <c r="F34" s="16">
        <f t="shared" si="0"/>
        <v>248.7</v>
      </c>
      <c r="G34" s="7">
        <v>0</v>
      </c>
      <c r="H34" s="7">
        <v>1</v>
      </c>
      <c r="I34" s="16">
        <f t="shared" si="1"/>
        <v>0</v>
      </c>
      <c r="J34" s="17">
        <f t="shared" si="2"/>
        <v>248.7</v>
      </c>
    </row>
    <row r="35" spans="1:11">
      <c r="A35" t="s">
        <v>35</v>
      </c>
      <c r="B35" s="26" t="s">
        <v>49</v>
      </c>
      <c r="C35" s="8" t="s">
        <v>50</v>
      </c>
      <c r="D35" s="8">
        <v>12</v>
      </c>
      <c r="E35" s="16">
        <v>2536</v>
      </c>
      <c r="F35" s="16">
        <f t="shared" si="0"/>
        <v>211.33333333333334</v>
      </c>
      <c r="G35" s="7">
        <v>0</v>
      </c>
      <c r="H35" s="7">
        <v>5</v>
      </c>
      <c r="I35" s="16">
        <f t="shared" si="1"/>
        <v>0</v>
      </c>
      <c r="J35" s="17">
        <f t="shared" si="2"/>
        <v>1056.6666666666667</v>
      </c>
    </row>
    <row r="36" spans="1:11">
      <c r="A36" t="s">
        <v>35</v>
      </c>
      <c r="B36" s="26" t="s">
        <v>51</v>
      </c>
      <c r="C36" s="8" t="s">
        <v>86</v>
      </c>
      <c r="D36" s="8">
        <v>50</v>
      </c>
      <c r="E36" s="16">
        <v>1171</v>
      </c>
      <c r="F36" s="16">
        <f t="shared" si="0"/>
        <v>23.42</v>
      </c>
      <c r="G36" s="7">
        <v>1</v>
      </c>
      <c r="H36" s="7">
        <v>3</v>
      </c>
      <c r="I36" s="16">
        <f t="shared" si="1"/>
        <v>1171</v>
      </c>
      <c r="J36" s="17">
        <f t="shared" si="2"/>
        <v>70.260000000000005</v>
      </c>
    </row>
    <row r="37" spans="1:11">
      <c r="A37" t="s">
        <v>35</v>
      </c>
      <c r="B37" s="26" t="s">
        <v>39</v>
      </c>
      <c r="C37" s="8" t="s">
        <v>83</v>
      </c>
      <c r="D37" s="8">
        <v>60</v>
      </c>
      <c r="E37" s="16">
        <v>1386</v>
      </c>
      <c r="F37" s="16">
        <f t="shared" si="0"/>
        <v>23.1</v>
      </c>
      <c r="G37" s="7">
        <v>0</v>
      </c>
      <c r="H37" s="7">
        <v>48</v>
      </c>
      <c r="I37" s="16">
        <f t="shared" si="1"/>
        <v>0</v>
      </c>
      <c r="J37" s="17">
        <f t="shared" si="2"/>
        <v>1108.8000000000002</v>
      </c>
    </row>
    <row r="38" spans="1:11">
      <c r="A38" t="s">
        <v>35</v>
      </c>
      <c r="B38" s="26" t="s">
        <v>40</v>
      </c>
      <c r="C38" s="8" t="s">
        <v>41</v>
      </c>
      <c r="D38" s="8">
        <v>6</v>
      </c>
      <c r="E38" s="16">
        <v>2529</v>
      </c>
      <c r="F38" s="16">
        <f t="shared" si="0"/>
        <v>421.5</v>
      </c>
      <c r="G38" s="7">
        <v>0</v>
      </c>
      <c r="H38" s="7">
        <v>2</v>
      </c>
      <c r="I38" s="16">
        <f t="shared" si="1"/>
        <v>0</v>
      </c>
      <c r="J38" s="17">
        <f t="shared" si="2"/>
        <v>843</v>
      </c>
    </row>
    <row r="39" spans="1:11">
      <c r="A39" t="s">
        <v>35</v>
      </c>
      <c r="B39" s="26" t="s">
        <v>42</v>
      </c>
      <c r="C39" s="8" t="s">
        <v>84</v>
      </c>
      <c r="D39" s="8">
        <v>10</v>
      </c>
      <c r="E39" s="16">
        <v>1650</v>
      </c>
      <c r="F39" s="16">
        <f t="shared" si="0"/>
        <v>165</v>
      </c>
      <c r="G39" s="7">
        <v>0</v>
      </c>
      <c r="H39" s="7">
        <v>6</v>
      </c>
      <c r="I39" s="16">
        <f t="shared" si="1"/>
        <v>0</v>
      </c>
      <c r="J39" s="17">
        <f t="shared" si="2"/>
        <v>990</v>
      </c>
    </row>
    <row r="40" spans="1:11">
      <c r="A40" t="s">
        <v>35</v>
      </c>
      <c r="B40" s="26" t="s">
        <v>48</v>
      </c>
      <c r="C40" s="8" t="s">
        <v>84</v>
      </c>
      <c r="D40" s="8">
        <v>10</v>
      </c>
      <c r="E40" s="16">
        <v>2250</v>
      </c>
      <c r="F40" s="16">
        <f t="shared" si="0"/>
        <v>225</v>
      </c>
      <c r="G40" s="7">
        <v>0</v>
      </c>
      <c r="H40" s="7">
        <v>3</v>
      </c>
      <c r="I40" s="16">
        <f t="shared" si="1"/>
        <v>0</v>
      </c>
      <c r="J40" s="17">
        <f t="shared" si="2"/>
        <v>675</v>
      </c>
    </row>
    <row r="41" spans="1:11">
      <c r="A41" t="s">
        <v>35</v>
      </c>
      <c r="B41" s="26" t="s">
        <v>36</v>
      </c>
      <c r="C41" s="8" t="s">
        <v>37</v>
      </c>
      <c r="D41" s="8">
        <v>20</v>
      </c>
      <c r="E41" s="16">
        <v>1494</v>
      </c>
      <c r="F41" s="16">
        <f t="shared" si="0"/>
        <v>74.7</v>
      </c>
      <c r="G41" s="7">
        <v>0</v>
      </c>
      <c r="H41" s="7">
        <v>22</v>
      </c>
      <c r="I41" s="16">
        <f t="shared" si="1"/>
        <v>0</v>
      </c>
      <c r="J41" s="17">
        <f t="shared" si="2"/>
        <v>1643.4</v>
      </c>
    </row>
    <row r="42" spans="1:11">
      <c r="A42" t="s">
        <v>35</v>
      </c>
      <c r="B42" s="26" t="s">
        <v>38</v>
      </c>
      <c r="C42" s="8" t="s">
        <v>62</v>
      </c>
      <c r="D42" s="8">
        <v>20</v>
      </c>
      <c r="E42" s="16">
        <v>1024</v>
      </c>
      <c r="F42" s="16">
        <f t="shared" si="0"/>
        <v>51.2</v>
      </c>
      <c r="G42" s="7">
        <v>1</v>
      </c>
      <c r="H42" s="7">
        <v>15</v>
      </c>
      <c r="I42" s="16">
        <f t="shared" si="1"/>
        <v>1024</v>
      </c>
      <c r="J42" s="17">
        <f t="shared" si="2"/>
        <v>768</v>
      </c>
    </row>
    <row r="43" spans="1:11">
      <c r="A43" t="s">
        <v>35</v>
      </c>
      <c r="B43" s="26" t="s">
        <v>55</v>
      </c>
      <c r="C43" s="8" t="s">
        <v>85</v>
      </c>
      <c r="D43" s="8">
        <v>50</v>
      </c>
      <c r="E43" s="16">
        <v>980</v>
      </c>
      <c r="F43" s="16">
        <f t="shared" si="0"/>
        <v>19.600000000000001</v>
      </c>
      <c r="G43" s="7">
        <v>0</v>
      </c>
      <c r="H43" s="7">
        <v>21</v>
      </c>
      <c r="I43" s="16">
        <f t="shared" si="1"/>
        <v>0</v>
      </c>
      <c r="J43" s="17">
        <f t="shared" si="2"/>
        <v>411.6</v>
      </c>
    </row>
    <row r="44" spans="1:11" ht="17">
      <c r="A44" t="s">
        <v>60</v>
      </c>
      <c r="B44" s="26" t="s">
        <v>61</v>
      </c>
      <c r="C44" s="8" t="s">
        <v>87</v>
      </c>
      <c r="D44" s="8">
        <v>5</v>
      </c>
      <c r="E44" s="16">
        <v>1524</v>
      </c>
      <c r="F44" s="16">
        <f t="shared" si="0"/>
        <v>304.8</v>
      </c>
      <c r="G44" s="7">
        <v>0</v>
      </c>
      <c r="H44" s="7">
        <v>2</v>
      </c>
      <c r="I44" s="16">
        <f t="shared" si="1"/>
        <v>0</v>
      </c>
      <c r="J44" s="17">
        <f t="shared" si="2"/>
        <v>609.6</v>
      </c>
    </row>
    <row r="45" spans="1:11" ht="17">
      <c r="A45" t="s">
        <v>60</v>
      </c>
      <c r="B45" s="26" t="s">
        <v>63</v>
      </c>
      <c r="C45" s="8" t="s">
        <v>88</v>
      </c>
      <c r="D45" s="8">
        <v>5</v>
      </c>
      <c r="E45" s="16">
        <v>1995</v>
      </c>
      <c r="F45" s="16">
        <f t="shared" si="0"/>
        <v>399</v>
      </c>
      <c r="G45" s="7">
        <v>0</v>
      </c>
      <c r="H45" s="7">
        <v>14</v>
      </c>
      <c r="I45" s="16">
        <f t="shared" si="1"/>
        <v>0</v>
      </c>
      <c r="J45" s="17">
        <f t="shared" si="2"/>
        <v>5586</v>
      </c>
    </row>
    <row r="46" spans="1:11" ht="15" thickBot="1">
      <c r="B46" s="27"/>
      <c r="C46" s="10"/>
      <c r="D46" s="10"/>
      <c r="E46" s="18"/>
      <c r="F46" s="18"/>
      <c r="G46" s="9"/>
      <c r="H46" s="9"/>
      <c r="I46" s="18">
        <f>SUM(I3:I45)</f>
        <v>35307</v>
      </c>
      <c r="J46" s="19">
        <f>SUM(J3:J45)</f>
        <v>37239.039999999994</v>
      </c>
      <c r="K46" s="4">
        <f>SUM(I46:J46)</f>
        <v>72546.039999999994</v>
      </c>
    </row>
  </sheetData>
  <mergeCells count="8">
    <mergeCell ref="I1:J1"/>
    <mergeCell ref="G1:H1"/>
    <mergeCell ref="A1:A2"/>
    <mergeCell ref="B1:B2"/>
    <mergeCell ref="C1:C2"/>
    <mergeCell ref="E1:E2"/>
    <mergeCell ref="D1:D2"/>
    <mergeCell ref="F1:F2"/>
  </mergeCells>
  <phoneticPr fontId="2" type="noConversion"/>
  <pageMargins left="0.75" right="0.75" top="1" bottom="1" header="0.5" footer="0.5"/>
  <pageSetup paperSize="9" scale="57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物料合并清单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dazhuang xu</cp:lastModifiedBy>
  <cp:lastPrinted>2026-02-02T13:50:14Z</cp:lastPrinted>
  <dcterms:created xsi:type="dcterms:W3CDTF">2026-02-01T08:25:50Z</dcterms:created>
  <dcterms:modified xsi:type="dcterms:W3CDTF">2026-02-02T13:51:51Z</dcterms:modified>
</cp:coreProperties>
</file>